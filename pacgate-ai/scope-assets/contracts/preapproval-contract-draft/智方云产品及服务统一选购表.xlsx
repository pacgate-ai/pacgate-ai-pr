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060" tabRatio="600" firstSheet="0" activeTab="0" autoFilterDateGrouping="1"/>
  </bookViews>
  <sheets>
    <sheet xmlns:r="http://schemas.openxmlformats.org/officeDocument/2006/relationships" name="统一选购表" sheetId="1" state="visible" r:id="rId1"/>
    <sheet xmlns:r="http://schemas.openxmlformats.org/officeDocument/2006/relationships" name="配置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¥#,##0"/>
  </numFmts>
  <fonts count="32">
    <font>
      <name val="Carlito"/>
      <charset val="134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宋体"/>
      <charset val="134"/>
      <sz val="11"/>
    </font>
    <font>
      <name val="宋体"/>
      <charset val="134"/>
      <b val="1"/>
      <color rgb="FF1F2937"/>
      <sz val="16"/>
    </font>
    <font>
      <name val="宋体"/>
      <charset val="134"/>
      <b val="1"/>
      <color rgb="FF6B7280"/>
      <sz val="12"/>
    </font>
    <font>
      <name val="宋体"/>
      <charset val="134"/>
      <sz val="10"/>
    </font>
    <font>
      <name val="宋体"/>
      <charset val="134"/>
      <b val="1"/>
      <color rgb="FFFFFFFF"/>
      <sz val="12"/>
    </font>
    <font>
      <name val="宋体"/>
      <charset val="134"/>
      <sz val="9"/>
    </font>
    <font>
      <name val="宋体"/>
      <charset val="134"/>
      <b val="1"/>
      <color rgb="FF1F2937"/>
      <sz val="12"/>
    </font>
    <font>
      <name val="宋体"/>
      <charset val="134"/>
      <b val="1"/>
      <sz val="10"/>
    </font>
    <font>
      <name val="宋体"/>
      <charset val="134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  <u val="single"/>
    </font>
  </fonts>
  <fills count="3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0" fillId="0" borderId="0"/>
  </cellStyleXfs>
  <cellXfs count="38">
    <xf numFmtId="0" fontId="0" fillId="0" borderId="0" pivotButton="0" quotePrefix="0" xfId="49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0" pivotButton="0" quotePrefix="0" xfId="49"/>
    <xf numFmtId="0" fontId="4" fillId="0" borderId="0" applyAlignment="1" pivotButton="0" quotePrefix="0" xfId="49">
      <alignment horizontal="center"/>
    </xf>
    <xf numFmtId="0" fontId="5" fillId="0" borderId="0" applyAlignment="1" pivotButton="0" quotePrefix="0" xfId="49">
      <alignment horizontal="center"/>
    </xf>
    <xf numFmtId="0" fontId="6" fillId="0" borderId="0" applyAlignment="1" pivotButton="0" quotePrefix="0" xfId="49">
      <alignment horizontal="left"/>
    </xf>
    <xf numFmtId="0" fontId="7" fillId="2" borderId="0" applyAlignment="1" pivotButton="0" quotePrefix="0" xfId="49">
      <alignment horizontal="center" vertical="center"/>
    </xf>
    <xf numFmtId="0" fontId="6" fillId="3" borderId="0" applyAlignment="1" pivotButton="0" quotePrefix="0" xfId="49">
      <alignment horizontal="center" vertical="center" wrapText="1"/>
    </xf>
    <xf numFmtId="0" fontId="6" fillId="3" borderId="0" applyAlignment="1" pivotButton="0" quotePrefix="0" xfId="49">
      <alignment vertical="center" wrapText="1"/>
    </xf>
    <xf numFmtId="164" fontId="6" fillId="3" borderId="0" applyAlignment="1" pivotButton="0" quotePrefix="0" xfId="49">
      <alignment horizontal="right" vertical="center" wrapText="1"/>
    </xf>
    <xf numFmtId="0" fontId="8" fillId="3" borderId="0" applyAlignment="1" pivotButton="0" quotePrefix="0" xfId="49">
      <alignment horizontal="center" vertical="center" wrapText="1"/>
    </xf>
    <xf numFmtId="0" fontId="6" fillId="0" borderId="0" applyAlignment="1" pivotButton="0" quotePrefix="0" xfId="49">
      <alignment horizontal="center" vertical="center" wrapText="1"/>
    </xf>
    <xf numFmtId="0" fontId="6" fillId="0" borderId="0" applyAlignment="1" pivotButton="0" quotePrefix="0" xfId="49">
      <alignment vertical="center" wrapText="1"/>
    </xf>
    <xf numFmtId="164" fontId="6" fillId="0" borderId="0" applyAlignment="1" pivotButton="0" quotePrefix="0" xfId="49">
      <alignment horizontal="right" vertical="center" wrapText="1"/>
    </xf>
    <xf numFmtId="0" fontId="8" fillId="0" borderId="0" applyAlignment="1" pivotButton="0" quotePrefix="0" xfId="49">
      <alignment horizontal="center" vertical="center" wrapText="1"/>
    </xf>
    <xf numFmtId="0" fontId="9" fillId="4" borderId="0" applyAlignment="1" pivotButton="0" quotePrefix="0" xfId="49">
      <alignment horizontal="center"/>
    </xf>
    <xf numFmtId="0" fontId="6" fillId="0" borderId="0" applyAlignment="1" pivotButton="0" quotePrefix="0" xfId="49">
      <alignment horizontal="center"/>
    </xf>
    <xf numFmtId="164" fontId="10" fillId="0" borderId="0" pivotButton="0" quotePrefix="0" xfId="49"/>
    <xf numFmtId="0" fontId="8" fillId="0" borderId="0" pivotButton="0" quotePrefix="0" xfId="49"/>
    <xf numFmtId="0" fontId="6" fillId="5" borderId="0" applyAlignment="1" pivotButton="0" quotePrefix="0" xfId="49">
      <alignment horizontal="center"/>
    </xf>
    <xf numFmtId="164" fontId="10" fillId="5" borderId="0" pivotButton="0" quotePrefix="0" xfId="49"/>
    <xf numFmtId="0" fontId="8" fillId="5" borderId="0" pivotButton="0" quotePrefix="0" xfId="49"/>
    <xf numFmtId="0" fontId="6" fillId="6" borderId="0" applyAlignment="1" pivotButton="0" quotePrefix="0" xfId="49">
      <alignment horizontal="center"/>
    </xf>
    <xf numFmtId="0" fontId="6" fillId="6" borderId="0" pivotButton="0" quotePrefix="0" xfId="49"/>
    <xf numFmtId="0" fontId="8" fillId="6" borderId="0" pivotButton="0" quotePrefix="0" xfId="49"/>
    <xf numFmtId="0" fontId="6" fillId="0" borderId="0" pivotButton="0" quotePrefix="0" xfId="49"/>
    <xf numFmtId="0" fontId="6" fillId="0" borderId="0" applyAlignment="1" pivotButton="0" quotePrefix="0" xfId="49">
      <alignment wrapText="1"/>
    </xf>
    <xf numFmtId="0" fontId="11" fillId="0" borderId="0" pivotButton="0" quotePrefix="0" xfId="49"/>
    <xf numFmtId="0" fontId="0" fillId="0" borderId="0" pivotButton="0" quotePrefix="0" xfId="0"/>
    <xf numFmtId="164" fontId="6" fillId="3" borderId="0" applyAlignment="1" pivotButton="0" quotePrefix="0" xfId="49">
      <alignment horizontal="right" vertical="center" wrapText="1"/>
    </xf>
    <xf numFmtId="164" fontId="6" fillId="0" borderId="0" applyAlignment="1" pivotButton="0" quotePrefix="0" xfId="49">
      <alignment horizontal="right" vertical="center" wrapText="1"/>
    </xf>
    <xf numFmtId="164" fontId="10" fillId="0" borderId="0" pivotButton="0" quotePrefix="0" xfId="49"/>
    <xf numFmtId="164" fontId="10" fillId="5" borderId="0" pivotButton="0" quotePrefix="0" xfId="49"/>
    <xf numFmtId="0" fontId="0" fillId="0" borderId="12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J5" sqref="J5"/>
    </sheetView>
  </sheetViews>
  <sheetFormatPr baseColWidth="8" defaultColWidth="9" defaultRowHeight="16.8"/>
  <cols>
    <col width="5" customWidth="1" style="6" min="1" max="1"/>
    <col width="9" customWidth="1" style="6" min="2" max="2"/>
    <col width="23.1544117647059" customWidth="1" style="6" min="3" max="3"/>
    <col width="43" customWidth="1" style="6" min="4" max="4"/>
    <col width="7" customWidth="1" style="6" min="5" max="5"/>
    <col width="6" customWidth="1" style="6" min="6" max="6"/>
    <col width="12" customWidth="1" style="6" min="7" max="8"/>
    <col width="6" customWidth="1" style="6" min="9" max="9"/>
    <col width="9" customWidth="1" style="6" min="10" max="16384"/>
  </cols>
  <sheetData>
    <row r="1" ht="24" customHeight="1" s="32">
      <c r="A1" s="7" t="inlineStr">
        <is>
          <t>智方云产品及服务统一选购表</t>
        </is>
      </c>
    </row>
    <row r="2" ht="16" customHeight="1" s="32">
      <c r="A2" s="8" t="inlineStr">
        <is>
          <t>附件二</t>
        </is>
      </c>
    </row>
    <row r="3" ht="18" customHeight="1" s="32">
      <c r="A3" s="9" t="inlineStr">
        <is>
          <t>选购表编号：__________        签署日期：____年__月__日</t>
        </is>
      </c>
    </row>
    <row r="4" ht="18" customHeight="1" s="32">
      <c r="A4" s="9" t="inlineStr">
        <is>
          <t>对应合同一：《智方云本地 AI 硬件设备及标准系统交付合同》    合同编号：CUBECLOUD-HWOS-2026-P0X</t>
        </is>
      </c>
    </row>
    <row r="5" ht="18" customHeight="1" s="32">
      <c r="A5" s="9" t="inlineStr">
        <is>
          <t>对应合同二：《智方云法律 Agent 应用定制服务合同》    合同编号：CUBECLOUD-LEGALAGENT-2026-P0X</t>
        </is>
      </c>
    </row>
    <row r="6" ht="18" customHeight="1" s="32">
      <c r="A6" s="9" t="inlineStr">
        <is>
          <t>甲方：____________________    乙方：____________________</t>
        </is>
      </c>
    </row>
    <row r="8" ht="22" customHeight="1" s="32">
      <c r="A8" s="10" t="inlineStr">
        <is>
          <t>序号</t>
        </is>
      </c>
      <c r="B8" s="10" t="inlineStr">
        <is>
          <t>归属合同</t>
        </is>
      </c>
      <c r="C8" s="10" t="inlineStr">
        <is>
          <t>项目名称</t>
        </is>
      </c>
      <c r="D8" s="10" t="inlineStr">
        <is>
          <t>内容摘要</t>
        </is>
      </c>
      <c r="E8" s="10" t="inlineStr">
        <is>
          <t>数量</t>
        </is>
      </c>
      <c r="F8" s="10" t="inlineStr">
        <is>
          <t>单位</t>
        </is>
      </c>
      <c r="G8" s="10" t="inlineStr">
        <is>
          <t>标准单价</t>
        </is>
      </c>
      <c r="H8" s="10" t="inlineStr">
        <is>
          <t>小计</t>
        </is>
      </c>
      <c r="I8" s="10" t="inlineStr">
        <is>
          <t>选购</t>
        </is>
      </c>
    </row>
    <row r="9" ht="30" customHeight="1" s="32">
      <c r="A9" s="11" t="n">
        <v>1</v>
      </c>
      <c r="B9" s="11" t="inlineStr">
        <is>
          <t>合同一</t>
        </is>
      </c>
      <c r="C9" s="12" t="inlineStr">
        <is>
          <t>AIPC 级本地 AI 主机</t>
        </is>
      </c>
      <c r="D9" s="12" t="inlineStr">
        <is>
          <t>本地 AI 工作主机，用于文件处理、知识检索及 Agent 应用承载</t>
        </is>
      </c>
      <c r="E9" s="11" t="n">
        <v>2</v>
      </c>
      <c r="F9" s="11" t="inlineStr">
        <is>
          <t>台</t>
        </is>
      </c>
      <c r="G9" s="33" t="n">
        <v>22000</v>
      </c>
      <c r="H9" s="33">
        <f>E9*G9</f>
        <v/>
      </c>
      <c r="I9" s="14" t="n"/>
    </row>
    <row r="10" ht="30" customHeight="1" s="32">
      <c r="A10" s="15" t="n">
        <v>2</v>
      </c>
      <c r="B10" s="15" t="inlineStr">
        <is>
          <t>合同一</t>
        </is>
      </c>
      <c r="C10" s="16" t="inlineStr">
        <is>
          <t>外接 GPU Dock</t>
        </is>
      </c>
      <c r="D10" s="16" t="inlineStr">
        <is>
          <t>外接 GPU 扩展坞，用于提升本地 AI 推理与多 Agent 运行能力</t>
        </is>
      </c>
      <c r="E10" s="15" t="n">
        <v>2</v>
      </c>
      <c r="F10" s="15" t="inlineStr">
        <is>
          <t>套</t>
        </is>
      </c>
      <c r="G10" s="34" t="n">
        <v>6800</v>
      </c>
      <c r="H10" s="34">
        <f>E10*G10</f>
        <v/>
      </c>
      <c r="I10" s="18" t="n"/>
    </row>
    <row r="11" ht="30" customHeight="1" s="32">
      <c r="A11" s="11" t="n">
        <v>3</v>
      </c>
      <c r="B11" s="11" t="inlineStr">
        <is>
          <t>合同一</t>
        </is>
      </c>
      <c r="C11" s="12" t="inlineStr">
        <is>
          <t>本地内存配置</t>
        </is>
      </c>
      <c r="D11" s="12" t="inlineStr">
        <is>
          <t>本地 AI 运行所需内存及相关配置</t>
        </is>
      </c>
      <c r="E11" s="11" t="n">
        <v>2</v>
      </c>
      <c r="F11" s="11" t="inlineStr">
        <is>
          <t>套</t>
        </is>
      </c>
      <c r="G11" s="33" t="n">
        <v>3000</v>
      </c>
      <c r="H11" s="33">
        <f>E11*G11</f>
        <v/>
      </c>
      <c r="I11" s="14" t="n"/>
    </row>
    <row r="12" ht="30" customHeight="1" s="32">
      <c r="A12" s="15" t="n">
        <v>4</v>
      </c>
      <c r="B12" s="15" t="inlineStr">
        <is>
          <t>合同一</t>
        </is>
      </c>
      <c r="C12" s="16" t="inlineStr">
        <is>
          <t>Cubecloud 标准本地 AI 层</t>
        </is>
      </c>
      <c r="D12" s="16" t="inlineStr">
        <is>
          <t>本地 AI 基础运行环境、基础文件处理、基础检索及运行验证</t>
        </is>
      </c>
      <c r="E12" s="15" t="n">
        <v>2</v>
      </c>
      <c r="F12" s="15" t="inlineStr">
        <is>
          <t>套</t>
        </is>
      </c>
      <c r="G12" s="34" t="n">
        <v>4000</v>
      </c>
      <c r="H12" s="34">
        <f>E12*G12</f>
        <v/>
      </c>
      <c r="I12" s="18" t="n"/>
    </row>
    <row r="13" ht="30" customHeight="1" s="32">
      <c r="A13" s="11" t="n">
        <v>5</v>
      </c>
      <c r="B13" s="11" t="inlineStr">
        <is>
          <t>合同一</t>
        </is>
      </c>
      <c r="C13" s="12" t="inlineStr">
        <is>
          <t>Cubecloud Agent OS 表层</t>
        </is>
      </c>
      <c r="D13" s="12" t="inlineStr">
        <is>
          <t>统一 AI 操作入口、基础任务入口及后续 Agent 承载环境</t>
        </is>
      </c>
      <c r="E13" s="11" t="n">
        <v>2</v>
      </c>
      <c r="F13" s="11" t="inlineStr">
        <is>
          <t>套</t>
        </is>
      </c>
      <c r="G13" s="33" t="n">
        <v>3000</v>
      </c>
      <c r="H13" s="33">
        <f>E13*G13</f>
        <v/>
      </c>
      <c r="I13" s="14" t="n"/>
    </row>
    <row r="14" ht="30" customHeight="1" s="32">
      <c r="A14" s="15" t="n">
        <v>6</v>
      </c>
      <c r="B14" s="15" t="inlineStr">
        <is>
          <t>合同一</t>
        </is>
      </c>
      <c r="C14" s="16" t="inlineStr">
        <is>
          <t>私有网络基线配置与交接</t>
        </is>
      </c>
      <c r="D14" s="16" t="inlineStr">
        <is>
          <t>本地访问、安全、权限基础配置及基础使用说明</t>
        </is>
      </c>
      <c r="E14" s="15" t="n">
        <v>2</v>
      </c>
      <c r="F14" s="15" t="inlineStr">
        <is>
          <t>套</t>
        </is>
      </c>
      <c r="G14" s="34" t="n">
        <v>1000</v>
      </c>
      <c r="H14" s="34">
        <f>E14*G14</f>
        <v/>
      </c>
      <c r="I14" s="18" t="n"/>
    </row>
    <row r="15" ht="30" customHeight="1" s="32">
      <c r="A15" s="11" t="n">
        <v>7</v>
      </c>
      <c r="B15" s="11" t="inlineStr">
        <is>
          <t>合同二</t>
        </is>
      </c>
      <c r="C15" s="12" t="inlineStr">
        <is>
          <t>Claude for Legal 适配版本</t>
        </is>
      </c>
      <c r="D15" s="12" t="inlineStr">
        <is>
          <t>Legal 适配、操作手册、初始工作流演示与律师审核边界设置</t>
        </is>
      </c>
      <c r="E15" s="11" t="n">
        <v>1</v>
      </c>
      <c r="F15" s="11" t="inlineStr">
        <is>
          <t>套</t>
        </is>
      </c>
      <c r="G15" s="33" t="n">
        <v>15000</v>
      </c>
      <c r="H15" s="33">
        <f>E15*G15</f>
        <v/>
      </c>
      <c r="I15" s="14" t="n"/>
    </row>
    <row r="16" ht="30" customHeight="1" s="32">
      <c r="A16" s="15" t="n">
        <v>8</v>
      </c>
      <c r="B16" s="15" t="inlineStr">
        <is>
          <t>合同二</t>
        </is>
      </c>
      <c r="C16" s="16" t="inlineStr">
        <is>
          <t>Lavern 适配版本</t>
        </is>
      </c>
      <c r="D16" s="16" t="inlineStr">
        <is>
          <t>多 Agent 编排、对抗式审查、验证闭环及交付件导向流程适配</t>
        </is>
      </c>
      <c r="E16" s="15" t="n">
        <v>1</v>
      </c>
      <c r="F16" s="15" t="inlineStr">
        <is>
          <t>套</t>
        </is>
      </c>
      <c r="G16" s="34" t="n">
        <v>15000</v>
      </c>
      <c r="H16" s="34">
        <f>E16*G16</f>
        <v/>
      </c>
      <c r="I16" s="18" t="n"/>
    </row>
    <row r="17" ht="30" customHeight="1" s="32">
      <c r="A17" s="11" t="n">
        <v>9</v>
      </c>
      <c r="B17" s="11" t="inlineStr">
        <is>
          <t>合同二</t>
        </is>
      </c>
      <c r="C17" s="12" t="inlineStr">
        <is>
          <t>起步版知识与 RAG 启用</t>
        </is>
      </c>
      <c r="D17" s="12" t="inlineStr">
        <is>
          <t>权限表、context graph、检索 / RAG 入门工具及使用交接</t>
        </is>
      </c>
      <c r="E17" s="11" t="n">
        <v>1</v>
      </c>
      <c r="F17" s="11" t="inlineStr">
        <is>
          <t>项</t>
        </is>
      </c>
      <c r="G17" s="33" t="n">
        <v>10000</v>
      </c>
      <c r="H17" s="33">
        <f>E17*G17</f>
        <v/>
      </c>
      <c r="I17" s="14" t="n"/>
    </row>
    <row r="19" ht="17.6" customHeight="1" s="32">
      <c r="A19" s="19" t="inlineStr">
        <is>
          <t>金额汇总</t>
        </is>
      </c>
    </row>
    <row r="20">
      <c r="A20" s="20" t="inlineStr">
        <is>
          <t>合同一：硬件设备及标准系统交付金额</t>
        </is>
      </c>
      <c r="H20" s="35">
        <f>SUMIF(B9:B17,"合同一",H9:H17)</f>
        <v/>
      </c>
      <c r="I20" s="22" t="n"/>
    </row>
    <row r="21">
      <c r="A21" s="20" t="inlineStr">
        <is>
          <t>合同二：法律 Agent 应用定制服务金额</t>
        </is>
      </c>
      <c r="H21" s="35">
        <f>SUMIF(B9:B17,"合同二",H9:H17)</f>
        <v/>
      </c>
      <c r="I21" s="22" t="n"/>
    </row>
    <row r="22">
      <c r="A22" s="23" t="inlineStr">
        <is>
          <t>本次已选购合计金额</t>
        </is>
      </c>
      <c r="H22" s="36">
        <f>SUM(H9:H17)</f>
        <v/>
      </c>
      <c r="I22" s="25" t="n"/>
    </row>
    <row r="23">
      <c r="A23" s="26" t="inlineStr">
        <is>
          <t>大写金额</t>
        </is>
      </c>
      <c r="H23" s="27" t="n"/>
      <c r="I23" s="28" t="n"/>
    </row>
    <row r="25" ht="17.6" customHeight="1" s="32">
      <c r="A25" s="19" t="inlineStr">
        <is>
          <t>付款方式</t>
        </is>
      </c>
    </row>
    <row r="26">
      <c r="A26" s="29" t="inlineStr">
        <is>
          <t>甲方应于本选购表及对应合同签署后____个工作日内，向乙方支付本次已选购合计金额：</t>
        </is>
      </c>
    </row>
    <row r="27">
      <c r="A27" s="29" t="inlineStr">
        <is>
          <t>人民币</t>
        </is>
      </c>
      <c r="H27" s="35">
        <f>H22</f>
        <v/>
      </c>
      <c r="I27" s="29" t="n"/>
    </row>
    <row r="28">
      <c r="A28" s="29" t="inlineStr">
        <is>
          <t>大写</t>
        </is>
      </c>
      <c r="B28" s="20" t="inlineStr">
        <is>
          <t>人民币壹拾壹万玖仟陆佰元整</t>
        </is>
      </c>
    </row>
    <row r="29">
      <c r="A29" s="29" t="inlineStr">
        <is>
          <t>乙方收到款项后启动备货、授权配置、基础部署及服务交付工作。</t>
        </is>
      </c>
    </row>
    <row r="31" ht="17.6" customHeight="1" s="32">
      <c r="A31" s="19" t="inlineStr">
        <is>
          <t>特别说明</t>
        </is>
      </c>
    </row>
    <row r="32" ht="22" customHeight="1" s="32">
      <c r="A32" s="30" t="inlineStr">
        <is>
          <t>1. 本选购表为《智方云本地 AI 硬件设备及标准系统交付合同》及《智方云法律 Agent 应用定制服务合同》的共同附件。</t>
        </is>
      </c>
    </row>
    <row r="33" ht="22" customHeight="1" s="32">
      <c r="A33" s="30" t="inlineStr">
        <is>
          <t>2. 合同一金额仅对应硬件设备、配套设备、Cubecloud 标准本地 AI 层、Cubecloud Agent OS 表层及基础交接。</t>
        </is>
      </c>
    </row>
    <row r="34" ht="22" customHeight="1" s="32">
      <c r="A34" s="30" t="inlineStr">
        <is>
          <t>3. 合同二金额仅对应法律 Agent 应用定制、起步版知识与 RAG 启用及相关交接服务。</t>
        </is>
      </c>
    </row>
    <row r="35" ht="22" customHeight="1" s="32">
      <c r="A35" s="30" t="inlineStr">
        <is>
          <t>4. 未在本选购表中列明、勾选并计入金额的产品、服务、功能、开发内容或顾问支持，不属于本次交付或服务范围。</t>
        </is>
      </c>
    </row>
    <row r="36" ht="22" customHeight="1" s="32">
      <c r="A36" s="30" t="inlineStr">
        <is>
          <t>5. 远程顾问支持、现场支持、connector 深度开发、MCP 工具开发、完整知识库工程、第二阶段规划等如需购买，由双方另行确认。</t>
        </is>
      </c>
    </row>
    <row r="37" ht="22" customHeight="1" s="32">
      <c r="A37" s="30" t="inlineStr">
        <is>
          <t>6. 标准单价为双方确认的对外报价单价。本选购表经双方签字或盖章后生效。</t>
        </is>
      </c>
    </row>
    <row r="39" ht="24" customHeight="1" s="32">
      <c r="A39" s="31" t="inlineStr">
        <is>
          <t>甲方（盖章）：____________________</t>
        </is>
      </c>
      <c r="E39" s="31" t="inlineStr">
        <is>
          <t>乙方（盖章）：____________________</t>
        </is>
      </c>
    </row>
    <row r="40" ht="24" customHeight="1" s="32">
      <c r="A40" s="31" t="inlineStr">
        <is>
          <t>授权代表签字：____________________</t>
        </is>
      </c>
      <c r="E40" s="31" t="inlineStr">
        <is>
          <t>授权代表签字：____________________</t>
        </is>
      </c>
    </row>
    <row r="41" ht="24" customHeight="1" s="32">
      <c r="A41" s="31" t="inlineStr">
        <is>
          <t>日期：____年__月__日</t>
        </is>
      </c>
      <c r="E41" s="31" t="inlineStr">
        <is>
          <t>日期：____年__月__日</t>
        </is>
      </c>
    </row>
  </sheetData>
  <mergeCells count="29">
    <mergeCell ref="A25:I25"/>
    <mergeCell ref="A37:I37"/>
    <mergeCell ref="A22:G22"/>
    <mergeCell ref="A20:G20"/>
    <mergeCell ref="A3:I3"/>
    <mergeCell ref="E39:I39"/>
    <mergeCell ref="A26:I26"/>
    <mergeCell ref="A40:D40"/>
    <mergeCell ref="A2:I2"/>
    <mergeCell ref="A33:I33"/>
    <mergeCell ref="A5:I5"/>
    <mergeCell ref="A32:I32"/>
    <mergeCell ref="A39:D39"/>
    <mergeCell ref="A35:I35"/>
    <mergeCell ref="A4:I4"/>
    <mergeCell ref="E40:I40"/>
    <mergeCell ref="A29:I29"/>
    <mergeCell ref="A19:I19"/>
    <mergeCell ref="B28:I28"/>
    <mergeCell ref="A31:I31"/>
    <mergeCell ref="A41:D41"/>
    <mergeCell ref="A34:I34"/>
    <mergeCell ref="A27:G27"/>
    <mergeCell ref="A21:G21"/>
    <mergeCell ref="A36:I36"/>
    <mergeCell ref="A1:I1"/>
    <mergeCell ref="E41:I41"/>
    <mergeCell ref="A6:I6"/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5" sqref="D5"/>
    </sheetView>
  </sheetViews>
  <sheetFormatPr baseColWidth="8" defaultColWidth="7.05882352941176" defaultRowHeight="16.8" outlineLevelRow="4"/>
  <cols>
    <col width="8.32352941176471" customWidth="1" style="2" min="1" max="1"/>
    <col width="45.0955882352941" customWidth="1" style="2" min="2" max="2"/>
    <col width="7.05882352941176" customWidth="1" style="2" min="3" max="16384"/>
  </cols>
  <sheetData>
    <row r="1" ht="30" customHeight="1" s="32">
      <c r="A1" s="3" t="inlineStr">
        <is>
          <t>一体机产品配置说明</t>
        </is>
      </c>
      <c r="B1" s="37" t="n"/>
    </row>
    <row r="2" ht="26" customFormat="1" customHeight="1" s="1">
      <c r="A2" s="4" t="inlineStr">
        <is>
          <t>类型</t>
        </is>
      </c>
      <c r="B2" s="4" t="inlineStr">
        <is>
          <t>全域 AI 本地神经网络加速器 1.0</t>
        </is>
      </c>
    </row>
    <row r="3" ht="158" customHeight="1" s="32">
      <c r="A3" s="4" t="inlineStr">
        <is>
          <t>硬件配置</t>
        </is>
      </c>
      <c r="B3" s="5" t="inlineStr">
        <is>
          <t>MACO AI9 RyzenAI HX370（12核）
嵌入式显卡GPU: M890-(RDNA2.5) 
AI驱动引擎XDNA2 NPU （400TOPS)
Unified内存：32GB LPDDR5 （支持64GB）
SSD固态硬盘： 1TB-nvme （支持4TB）
PCIe 显卡AI加速器扩展堶： 内置800W独立电源、自带Oculink显卡加速器接口、USD4接口
显卡加速器： 锐龙RX7600XT， 内置16GB LPDDR6 独立显存 (支持扩展升级RX 7900XTX 24GB)</t>
        </is>
      </c>
    </row>
    <row r="4" ht="104" customHeight="1" s="32">
      <c r="A4" s="4" t="inlineStr">
        <is>
          <t>功能模块</t>
        </is>
      </c>
      <c r="B4" s="5" t="inlineStr">
        <is>
          <t>AI本地IGPU加速引擎
AI智能网络平台
AI 零代码开发平台
AI应用桌面
OpenSpace智能体开放平台
IronClaw钢铁虾</t>
        </is>
      </c>
    </row>
    <row r="5" ht="69" customHeight="1" s="32">
      <c r="A5" s="4" t="inlineStr">
        <is>
          <t>服务</t>
        </is>
      </c>
      <c r="B5" s="5" t="inlineStr">
        <is>
          <t>售后与保障（1 年标准售后服务）</t>
        </is>
      </c>
    </row>
  </sheetData>
  <mergeCells count="1">
    <mergeCell ref="A1:B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2026-06-05T23:18:00Z</dcterms:created>
  <dcterms:modified xmlns:dcterms="http://purl.org/dc/terms/" xmlns:xsi="http://www.w3.org/2001/XMLSchema-instance" xsi:type="dcterms:W3CDTF">2026-06-07T07:41:26Z</dcterms:modified>
  <cp:lastModifiedBy>123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2052-12.1.25895.25895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B3704BB1E37E7E608C0B226A6395B77D_43</vt:lpwstr>
  </property>
</Properties>
</file>