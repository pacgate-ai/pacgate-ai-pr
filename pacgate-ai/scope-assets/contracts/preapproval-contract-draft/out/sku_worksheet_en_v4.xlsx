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ngual Selection Sheet" sheetId="1" state="visible" r:id="rId1"/>
    <sheet xmlns:r="http://schemas.openxmlformats.org/officeDocument/2006/relationships" name="Configuration 配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宋体"/>
      <b val="1"/>
      <sz val="10"/>
    </font>
    <font>
      <name val="Calibri"/>
      <b val="1"/>
      <sz val="10"/>
    </font>
    <font>
      <name val="宋体"/>
      <i val="1"/>
      <color rgb="00555555"/>
      <sz val="9"/>
    </font>
    <font>
      <name val="宋体"/>
      <sz val="9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1F2C3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60" customWidth="1" min="4" max="4"/>
    <col width="10" customWidth="1" min="5" max="5"/>
    <col width="14" customWidth="1" min="6" max="6"/>
    <col width="20" customWidth="1" min="7" max="7"/>
    <col width="18" customWidth="1" min="8" max="8"/>
    <col width="20" customWidth="1" min="9" max="9"/>
    <col width="18" customWidth="1" min="10" max="10"/>
    <col width="12" customWidth="1" min="11" max="11"/>
  </cols>
  <sheetData>
    <row r="1" ht="30" customHeight="1">
      <c r="A1" s="1" t="inlineStr">
        <is>
          <t>No.</t>
        </is>
      </c>
      <c r="B1" s="1" t="inlineStr">
        <is>
          <t>Contract</t>
        </is>
      </c>
      <c r="C1" s="1" t="inlineStr">
        <is>
          <t>Item</t>
        </is>
      </c>
      <c r="D1" s="1" t="inlineStr">
        <is>
          <t>Summary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Unit Price (CNY)</t>
        </is>
      </c>
      <c r="H1" s="1" t="inlineStr">
        <is>
          <t>Subtotal (CNY)</t>
        </is>
      </c>
      <c r="I1" s="1" t="inlineStr">
        <is>
          <t>Unit Price (USD)</t>
        </is>
      </c>
      <c r="J1" s="1" t="inlineStr">
        <is>
          <t>Subtotal (USD)</t>
        </is>
      </c>
      <c r="K1" s="1" t="inlineStr">
        <is>
          <t>Selected</t>
        </is>
      </c>
    </row>
    <row r="2" ht="50" customHeight="1">
      <c r="A2" s="2" t="n">
        <v>1</v>
      </c>
      <c r="B2" s="2" t="inlineStr">
        <is>
          <t>Contract 1</t>
        </is>
      </c>
      <c r="C2" s="2" t="inlineStr">
        <is>
          <t>AIPC-class local AI workstation</t>
        </is>
      </c>
      <c r="D2" s="2" t="inlineStr">
        <is>
          <t>Local AI workstation for document processing, knowledge retrieval and Agent application hosting</t>
        </is>
      </c>
      <c r="E2" s="2" t="n">
        <v>2</v>
      </c>
      <c r="F2" s="2" t="inlineStr">
        <is>
          <t>unit</t>
        </is>
      </c>
      <c r="G2" s="3" t="n">
        <v>6000</v>
      </c>
      <c r="H2" s="3" t="n">
        <v>44000</v>
      </c>
      <c r="I2" s="3" t="n">
        <v>833</v>
      </c>
      <c r="J2" s="3" t="n">
        <v>6111</v>
      </c>
      <c r="K2" s="2" t="inlineStr"/>
    </row>
    <row r="3" ht="50" customHeight="1">
      <c r="A3" s="2" t="n">
        <v>2</v>
      </c>
      <c r="B3" s="2" t="inlineStr">
        <is>
          <t>Contract 1</t>
        </is>
      </c>
      <c r="C3" s="2" t="inlineStr">
        <is>
          <t>External GPU Dock</t>
        </is>
      </c>
      <c r="D3" s="2" t="inlineStr">
        <is>
          <t>External GPU dock to enhance local AI inference and multi-Agent workload</t>
        </is>
      </c>
      <c r="E3" s="2" t="n">
        <v>2</v>
      </c>
      <c r="F3" s="2" t="inlineStr">
        <is>
          <t>set</t>
        </is>
      </c>
      <c r="G3" s="3" t="n">
        <v>3000</v>
      </c>
      <c r="H3" s="3" t="n">
        <v>13600</v>
      </c>
      <c r="I3" s="3" t="n">
        <v>417</v>
      </c>
      <c r="J3" s="3" t="n">
        <v>1889</v>
      </c>
      <c r="K3" s="2" t="inlineStr"/>
    </row>
    <row r="4" ht="50" customHeight="1">
      <c r="A4" s="2" t="n">
        <v>3</v>
      </c>
      <c r="B4" s="2" t="inlineStr">
        <is>
          <t>Contract 1</t>
        </is>
      </c>
      <c r="C4" s="2" t="inlineStr">
        <is>
          <t>Local memory configuration</t>
        </is>
      </c>
      <c r="D4" s="2" t="inlineStr">
        <is>
          <t>Memory and related configuration required for local AI runtime</t>
        </is>
      </c>
      <c r="E4" s="2" t="n">
        <v>2</v>
      </c>
      <c r="F4" s="2" t="inlineStr">
        <is>
          <t>set</t>
        </is>
      </c>
      <c r="G4" s="3" t="n">
        <v>8000</v>
      </c>
      <c r="H4" s="3" t="n">
        <v>6000</v>
      </c>
      <c r="I4" s="3" t="n">
        <v>1111</v>
      </c>
      <c r="J4" s="3" t="n">
        <v>833</v>
      </c>
      <c r="K4" s="2" t="inlineStr"/>
    </row>
    <row r="5" ht="50" customHeight="1">
      <c r="A5" s="2" t="n">
        <v>4</v>
      </c>
      <c r="B5" s="2" t="inlineStr">
        <is>
          <t>Contract 1</t>
        </is>
      </c>
      <c r="C5" s="2" t="inlineStr">
        <is>
          <t>Cubecloud Standard Local AI Layer</t>
        </is>
      </c>
      <c r="D5" s="2" t="inlineStr">
        <is>
          <t>Local AI baseline runtime, basic document processing, basic retrieval and runtime validation</t>
        </is>
      </c>
      <c r="E5" s="2" t="n">
        <v>2</v>
      </c>
      <c r="F5" s="2" t="inlineStr">
        <is>
          <t>set</t>
        </is>
      </c>
      <c r="G5" s="3" t="n">
        <v>12000</v>
      </c>
      <c r="H5" s="3" t="n">
        <v>8000</v>
      </c>
      <c r="I5" s="3" t="n">
        <v>1667</v>
      </c>
      <c r="J5" s="3" t="n">
        <v>1111</v>
      </c>
      <c r="K5" s="2" t="inlineStr"/>
    </row>
    <row r="6" ht="50" customHeight="1">
      <c r="A6" s="2" t="n">
        <v>5</v>
      </c>
      <c r="B6" s="2" t="inlineStr">
        <is>
          <t>Contract 1</t>
        </is>
      </c>
      <c r="C6" s="2" t="inlineStr">
        <is>
          <t>Cubecloud Agent OS Surface</t>
        </is>
      </c>
      <c r="D6" s="2" t="inlineStr">
        <is>
          <t>Unified AI operating entry, basic task entry and foundation for subsequent Agent hosting</t>
        </is>
      </c>
      <c r="E6" s="2" t="n">
        <v>2</v>
      </c>
      <c r="F6" s="2" t="inlineStr">
        <is>
          <t>set</t>
        </is>
      </c>
      <c r="G6" s="3" t="n">
        <v>10000</v>
      </c>
      <c r="H6" s="3" t="n">
        <v>6000</v>
      </c>
      <c r="I6" s="3" t="n">
        <v>1389</v>
      </c>
      <c r="J6" s="3" t="n">
        <v>833</v>
      </c>
      <c r="K6" s="2" t="inlineStr"/>
    </row>
    <row r="7" ht="50" customHeight="1">
      <c r="A7" s="2" t="n">
        <v>6</v>
      </c>
      <c r="B7" s="2" t="inlineStr">
        <is>
          <t>Contract 1</t>
        </is>
      </c>
      <c r="C7" s="2" t="inlineStr">
        <is>
          <t>Private network baseline configuration and handover</t>
        </is>
      </c>
      <c r="D7" s="2" t="inlineStr">
        <is>
          <t>Local access, security, permission baseline configuration and basic usage notes</t>
        </is>
      </c>
      <c r="E7" s="2" t="n">
        <v>2</v>
      </c>
      <c r="F7" s="2" t="inlineStr">
        <is>
          <t>set</t>
        </is>
      </c>
      <c r="G7" s="3" t="n">
        <v>800</v>
      </c>
      <c r="H7" s="3" t="n">
        <v>2000</v>
      </c>
      <c r="I7" s="3" t="n">
        <v>111</v>
      </c>
      <c r="J7" s="3" t="n">
        <v>278</v>
      </c>
      <c r="K7" s="2" t="inlineStr"/>
    </row>
    <row r="8" ht="50" customHeight="1">
      <c r="A8" s="2" t="n">
        <v>7</v>
      </c>
      <c r="B8" s="2" t="inlineStr">
        <is>
          <t>Contract 2</t>
        </is>
      </c>
      <c r="C8" s="2" t="inlineStr">
        <is>
          <t>Claude for Legal adaptation</t>
        </is>
      </c>
      <c r="D8" s="2" t="inlineStr">
        <is>
          <t>Legal adaptation, operator manual, initial workflow demo and attorney-review boundary setup</t>
        </is>
      </c>
      <c r="E8" s="2" t="n">
        <v>1</v>
      </c>
      <c r="F8" s="2" t="inlineStr">
        <is>
          <t>set</t>
        </is>
      </c>
      <c r="G8" s="3" t="n">
        <v>15000</v>
      </c>
      <c r="H8" s="3" t="n">
        <v>15000</v>
      </c>
      <c r="I8" s="3" t="n">
        <v>2083</v>
      </c>
      <c r="J8" s="3" t="n">
        <v>2083</v>
      </c>
      <c r="K8" s="2" t="inlineStr"/>
    </row>
    <row r="9" ht="50" customHeight="1">
      <c r="A9" s="2" t="n">
        <v>8</v>
      </c>
      <c r="B9" s="2" t="inlineStr">
        <is>
          <t>Contract 2</t>
        </is>
      </c>
      <c r="C9" s="2" t="inlineStr">
        <is>
          <t>Lavern adaptation</t>
        </is>
      </c>
      <c r="D9" s="2" t="inlineStr">
        <is>
          <t>Multi-Agent orchestration, adversarial review, verification loop and deliverable-oriented workflow</t>
        </is>
      </c>
      <c r="E9" s="2" t="n">
        <v>1</v>
      </c>
      <c r="F9" s="2" t="inlineStr">
        <is>
          <t>set</t>
        </is>
      </c>
      <c r="G9" s="3" t="n">
        <v>15000</v>
      </c>
      <c r="H9" s="3" t="n">
        <v>15000</v>
      </c>
      <c r="I9" s="3" t="n">
        <v>2083</v>
      </c>
      <c r="J9" s="3" t="n">
        <v>2083</v>
      </c>
      <c r="K9" s="2" t="inlineStr"/>
    </row>
    <row r="10" ht="50" customHeight="1">
      <c r="A10" s="2" t="n">
        <v>9</v>
      </c>
      <c r="B10" s="2" t="inlineStr">
        <is>
          <t>Contract 2</t>
        </is>
      </c>
      <c r="C10" s="2" t="inlineStr">
        <is>
          <t>Starter knowledge and RAG enablement</t>
        </is>
      </c>
      <c r="D10" s="2" t="inlineStr">
        <is>
          <t>context graph
Permission table, context graph, retrieval / RAG starter toolkit and usage handover</t>
        </is>
      </c>
      <c r="E10" s="2" t="n">
        <v>1</v>
      </c>
      <c r="F10" s="2" t="inlineStr">
        <is>
          <t>item</t>
        </is>
      </c>
      <c r="G10" s="3" t="n">
        <v>10000</v>
      </c>
      <c r="H10" s="3" t="n">
        <v>10000</v>
      </c>
      <c r="I10" s="3" t="n">
        <v>1389</v>
      </c>
      <c r="J10" s="3" t="n">
        <v>1389</v>
      </c>
      <c r="K10" s="2" t="inlineStr"/>
    </row>
    <row r="11" ht="22" customHeight="1">
      <c r="A11" s="4" t="n"/>
      <c r="B11" s="12" t="n"/>
      <c r="C11" s="12" t="n"/>
      <c r="D11" s="12" t="n"/>
      <c r="E11" s="12" t="n"/>
      <c r="F11" s="12" t="n"/>
      <c r="G11" s="13" t="n"/>
      <c r="H11" s="5">
        <f>SUMIF(B2:B10,"Contract 1",H2:H10)</f>
        <v/>
      </c>
      <c r="I11" s="4" t="n"/>
      <c r="J11" s="5">
        <f>SUMIF(B2:B10,"Contract 1",J2:J10)</f>
        <v/>
      </c>
      <c r="K11" s="4" t="n"/>
    </row>
    <row r="12" ht="22" customHeight="1">
      <c r="A12" s="4" t="n"/>
      <c r="B12" s="12" t="n"/>
      <c r="C12" s="12" t="n"/>
      <c r="D12" s="12" t="n"/>
      <c r="E12" s="12" t="n"/>
      <c r="F12" s="12" t="n"/>
      <c r="G12" s="13" t="n"/>
      <c r="H12" s="5">
        <f>SUMIF(B2:B10,"Contract 2",H2:H10)</f>
        <v/>
      </c>
      <c r="I12" s="4" t="n"/>
      <c r="J12" s="5">
        <f>SUMIF(B2:B10,"Contract 2",J2:J10)</f>
        <v/>
      </c>
      <c r="K12" s="4" t="n"/>
    </row>
    <row r="13" ht="22" customHeight="1">
      <c r="A13" s="4" t="n"/>
      <c r="B13" s="12" t="n"/>
      <c r="C13" s="12" t="n"/>
      <c r="D13" s="12" t="n"/>
      <c r="E13" s="12" t="n"/>
      <c r="F13" s="12" t="n"/>
      <c r="G13" s="13" t="n"/>
      <c r="H13" s="5">
        <f>SUM(H2:H10)</f>
        <v/>
      </c>
      <c r="I13" s="4" t="n"/>
      <c r="J13" s="5">
        <f>SUM(J2:J10)</f>
        <v/>
      </c>
      <c r="K13" s="4" t="n"/>
    </row>
    <row r="15" ht="60" customHeight="1">
      <c r="A15" s="6" t="inlineStr">
        <is>
          <t>5 June 2026</t>
        </is>
      </c>
    </row>
    <row r="16" ht="80" customHeight="1">
      <c r="A16" s="7" t="inlineStr">
        <is>
          <t>Three-tranche payment — Deposit 60% within 5 business days after execution and Party A's written confirmation of SKU selections; Milestone One 30% within 5 business days after the relevant delivery milestone; Final 10% within 5 business days after acceptance.</t>
        </is>
      </c>
    </row>
    <row r="17" ht="40" customHeight="1">
      <c r="A17" s="8" t="inlineStr">
        <is>
          <t>1. This Selection Sheet is jointly attached to the Cubecloud HWOS Contract and the Cubecloud LegalAgent Contract.</t>
        </is>
      </c>
    </row>
    <row r="18" ht="40" customHeight="1">
      <c r="A18" s="8" t="inlineStr">
        <is>
          <t>2. Contract 1 amount covers hardware, ancillary equipment, the Cubecloud Standard Local AI Layer, the Cubecloud Agent OS Surface and baseline handover only.</t>
        </is>
      </c>
    </row>
    <row r="19" ht="40" customHeight="1">
      <c r="A19" s="8" t="inlineStr">
        <is>
          <t>3. Contract 2 amount covers legal Agent customisation, starter knowledge and RAG enablement, and related handover services only.</t>
        </is>
      </c>
    </row>
    <row r="20" ht="40" customHeight="1">
      <c r="A20" s="8" t="inlineStr">
        <is>
          <t>4. Any product, service, feature, development item or advisory support not listed, checked and priced in this Sheet falls outside the delivery or service scope of this round.</t>
        </is>
      </c>
    </row>
    <row r="21" ht="40" customHeight="1">
      <c r="A21" s="8" t="inlineStr">
        <is>
          <t>5. Remote advisory, on-site support, in-depth connector development, MCP tool development, full knowledge-base engineering, and Phase 2 planning — if required — shall be confirmed by the parties separately.</t>
        </is>
      </c>
    </row>
    <row r="22" ht="40" customHeight="1">
      <c r="A22" s="8" t="inlineStr">
        <is>
          <t>6. Unit prices are the externally quoted prices confirmed by both parties. This Sheet shall take effect upon signature or sealing by both parties.</t>
        </is>
      </c>
    </row>
    <row r="23" ht="40" customHeight="1">
      <c r="A23" s="8" t="inlineStr">
        <is>
          <t>7. Tax note: All amounts in this Sheet are stated on a VAT-exclusive basis. If Party A requires Party B to issue a VAT invoice, the tax shall be borne separately by Party A; the specific tax rate, invoice type and tax-inclusive amount shall be as confirmed by both parties in writing or as invoiced by Party B in accordance with law.
10. Payment attribution note: The Deposit, Milestone One and Final Handover amounts shall be calculated separately based on the amount attributable to Contract 1 and Contract 2 respectively. If the parties make a combined payment, the independent determination of delivery, acceptance and default liability under each contract shall not be affected.</t>
        </is>
      </c>
    </row>
    <row r="24" ht="40" customHeight="1">
      <c r="A24" s="8" t="inlineStr">
        <is>
          <t>8. Travel and on-site support: travel and on-site support fees are not included in this contract amount and shall be confirmed per engagement or reimbursed on actual cost. If required, the parties may sign a separate Cubecloud Remote Advisory Service Order or Cubecloud On-site Support Service Order.</t>
        </is>
      </c>
    </row>
    <row r="25" ht="40" customHeight="1">
      <c r="A25" s="8" t="inlineStr">
        <is>
          <t>9. Cancellation and changes: (a) if Party A submits a written reduction request within 5 business days after the Selection Sheet is mutually confirmed in writing, the reduced portion shall be refunded at 70%; (b) reduction requests submitted after 5 business days may be rejected by Party B or refunded at a re-assessed ratio based on costs incurred and work not yet performed; (c) additions shall be effected by supplemental agreement or a subsequent version of the Selection Sheet upon written agreement, and shall not affect existing payment milestones under this Contract.</t>
        </is>
      </c>
    </row>
    <row r="27">
      <c r="A27" s="9" t="inlineStr">
        <is>
          <t>Signatures</t>
        </is>
      </c>
    </row>
    <row r="28" ht="28" customHeight="1">
      <c r="A28" s="7" t="inlineStr">
        <is>
          <t>（）/ Party A (Seal): ____________________</t>
        </is>
      </c>
      <c r="E28" s="7" t="inlineStr">
        <is>
          <t>Authorised Signatory: ____________________</t>
        </is>
      </c>
      <c r="I28" s="7" t="inlineStr">
        <is>
          <t>Date: ____-__-__</t>
        </is>
      </c>
    </row>
    <row r="29" ht="28" customHeight="1">
      <c r="A29" s="7" t="inlineStr">
        <is>
          <t>（）/ Party B (Seal): ____________________</t>
        </is>
      </c>
      <c r="E29" s="7" t="inlineStr">
        <is>
          <t>Authorised Signatory: ____________________</t>
        </is>
      </c>
      <c r="I29" s="7" t="inlineStr">
        <is>
          <t>Date: ____-__-__</t>
        </is>
      </c>
    </row>
  </sheetData>
  <mergeCells count="21">
    <mergeCell ref="I28:K28"/>
    <mergeCell ref="A15:K15"/>
    <mergeCell ref="A24:K24"/>
    <mergeCell ref="A29:D29"/>
    <mergeCell ref="A28:D28"/>
    <mergeCell ref="A13:G13"/>
    <mergeCell ref="A25:K25"/>
    <mergeCell ref="A16:K16"/>
    <mergeCell ref="A11:G11"/>
    <mergeCell ref="I29:K29"/>
    <mergeCell ref="A27:K27"/>
    <mergeCell ref="A18:K18"/>
    <mergeCell ref="A21:K21"/>
    <mergeCell ref="E29:H29"/>
    <mergeCell ref="A23:K23"/>
    <mergeCell ref="E28:H28"/>
    <mergeCell ref="A17:K17"/>
    <mergeCell ref="A22:K22"/>
    <mergeCell ref="A20:K20"/>
    <mergeCell ref="A12:G12"/>
    <mergeCell ref="A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60" customHeight="1">
      <c r="A1" s="10" t="inlineStr">
        <is>
          <t>类型 / Type</t>
        </is>
      </c>
      <c r="B1" s="11" t="inlineStr">
        <is>
          <t>全域 AI 本地神经网络加速器 1.0 / Whole-Domain AI Local Neural-Network Accelerator 1.0</t>
        </is>
      </c>
    </row>
    <row r="2" ht="60" customHeight="1">
      <c r="A2" s="10" t="inlineStr">
        <is>
          <t>硬件配置 / Hardware</t>
        </is>
      </c>
      <c r="B2" s="11" t="inlineStr">
        <is>
          <t>MACO AI9 RyzenAI HX370 (12-core) / M890 (RDNA 2.5) integrated GPU / XDNA2 NPU (400 TOPS) / Unified memory 32GB LPDDR5 (up to 64GB) / 1TB NVMe SSD (up to 4TB) / PCIe expansion dock with built-in 800W PSU, Oculink + USB4 / bundled accelerator: RX 7600 XT 16GB (upgradable to RX 7900XTX 24GB)</t>
        </is>
      </c>
    </row>
    <row r="3" ht="60" customHeight="1">
      <c r="A3" s="10" t="inlineStr">
        <is>
          <t>功能模块 / Functional modules</t>
        </is>
      </c>
      <c r="B3" s="11" t="inlineStr">
        <is>
          <t>AI local iGPU acceleration engine / AI networking platform / AI zero-code development platform / AI application desktop / OpenSpace agent open platform / IronClaw</t>
        </is>
      </c>
    </row>
    <row r="4" ht="60" customHeight="1">
      <c r="A4" s="10" t="inlineStr">
        <is>
          <t>服务 / Service</t>
        </is>
      </c>
      <c r="B4" s="11" t="inlineStr">
        <is>
          <t>1 year standard after-sales service / 1 年标准售后服务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2026-06-05T14:19:54Z</dcterms:created>
  <dcterms:modified xmlns:dcterms="http://purl.org/dc/terms/" xmlns:xsi="http://www.w3.org/2001/XMLSchema-instance" xsi:type="dcterms:W3CDTF">2026-06-07T07:41:26Z</dcterms:modified>
</cp:coreProperties>
</file>